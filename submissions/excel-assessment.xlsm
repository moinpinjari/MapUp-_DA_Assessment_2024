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D:\downloads\mapup_assessment\New folder\"/>
    </mc:Choice>
  </mc:AlternateContent>
  <xr:revisionPtr revIDLastSave="0" documentId="13_ncr:1_{6093652B-9DD3-420E-AB55-9883091A1807}" xr6:coauthVersionLast="47" xr6:coauthVersionMax="47" xr10:uidLastSave="{00000000-0000-0000-0000-000000000000}"/>
  <bookViews>
    <workbookView xWindow="-108" yWindow="-108" windowWidth="23256" windowHeight="1257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81029"/>
</workbook>
</file>

<file path=xl/calcChain.xml><?xml version="1.0" encoding="utf-8"?>
<calcChain xmlns="http://schemas.openxmlformats.org/spreadsheetml/2006/main">
  <c r="D23" i="20" l="1"/>
  <c r="E23" i="20" s="1"/>
  <c r="D24" i="20"/>
  <c r="D25" i="20"/>
  <c r="D26" i="20"/>
  <c r="D27" i="20"/>
  <c r="E27" i="20" s="1"/>
  <c r="D28" i="20"/>
  <c r="D29" i="20"/>
  <c r="E29" i="20" s="1"/>
  <c r="D30" i="20"/>
  <c r="D31" i="20"/>
  <c r="E31" i="20" s="1"/>
  <c r="D32" i="20"/>
  <c r="D33" i="20"/>
  <c r="D34" i="20"/>
  <c r="D35" i="20"/>
  <c r="E35" i="20" s="1"/>
  <c r="E24" i="20"/>
  <c r="E25" i="20"/>
  <c r="E26" i="20"/>
  <c r="E28" i="20"/>
  <c r="E30" i="20"/>
  <c r="E32" i="20"/>
  <c r="E33" i="20"/>
  <c r="E34" i="20"/>
  <c r="C23" i="20"/>
  <c r="C24" i="20"/>
  <c r="C25" i="20"/>
  <c r="C26" i="20"/>
  <c r="C27" i="20"/>
  <c r="C28" i="20"/>
  <c r="C29" i="20"/>
  <c r="C30" i="20"/>
  <c r="C31" i="20"/>
  <c r="C32" i="20"/>
  <c r="C33" i="20"/>
  <c r="C34" i="20"/>
  <c r="C35" i="20"/>
  <c r="C22" i="19" a="1"/>
  <c r="C22" i="19" s="1"/>
  <c r="C30" i="18"/>
  <c r="D30" i="18"/>
  <c r="E30" i="18"/>
  <c r="F30" i="18"/>
  <c r="C29" i="18"/>
  <c r="D29" i="18"/>
  <c r="E29" i="18"/>
  <c r="F29" i="18"/>
  <c r="D28" i="18"/>
  <c r="E28" i="18"/>
  <c r="F28" i="18"/>
  <c r="C28" i="18"/>
  <c r="B30" i="18"/>
  <c r="B29"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6" i="18"/>
  <c r="B7" i="18"/>
  <c r="B8" i="18"/>
  <c r="B9" i="18"/>
  <c r="B10" i="18"/>
  <c r="B11" i="18"/>
  <c r="B12" i="18"/>
  <c r="B13" i="18"/>
  <c r="B14" i="18"/>
  <c r="B15" i="18"/>
  <c r="B16" i="18"/>
  <c r="B17" i="18"/>
  <c r="B18" i="18"/>
  <c r="B19" i="18"/>
  <c r="B20" i="18"/>
  <c r="B21" i="18"/>
  <c r="B22" i="18"/>
  <c r="B23" i="18"/>
  <c r="B24" i="18"/>
  <c r="B25" i="18"/>
  <c r="B26" i="18"/>
  <c r="B27" i="18"/>
  <c r="B6" i="18"/>
  <c r="C7" i="18"/>
  <c r="C8" i="18"/>
  <c r="C9" i="18"/>
  <c r="C10" i="18"/>
  <c r="C11" i="18"/>
  <c r="C12" i="18"/>
  <c r="C13" i="18"/>
  <c r="C14" i="18"/>
  <c r="C15" i="18"/>
  <c r="C16" i="18"/>
  <c r="C17" i="18"/>
  <c r="C18" i="18"/>
  <c r="C19" i="18"/>
  <c r="C20" i="18"/>
  <c r="C21" i="18"/>
  <c r="C22" i="18"/>
  <c r="C23" i="18"/>
  <c r="C24" i="18"/>
  <c r="C25" i="18"/>
  <c r="C26" i="18"/>
  <c r="C27" i="18"/>
  <c r="H41" i="1"/>
</calcChain>
</file>

<file path=xl/sharedStrings.xml><?xml version="1.0" encoding="utf-8"?>
<sst xmlns="http://schemas.openxmlformats.org/spreadsheetml/2006/main" count="409" uniqueCount="186">
  <si>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</si>
  <si>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</si>
  <si>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</si>
  <si>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</si>
  <si>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</si>
  <si>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</si>
  <si>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</si>
  <si>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</si>
  <si>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</si>
  <si>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</si>
  <si>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</si>
  <si>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</si>
  <si>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</si>
  <si>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</si>
  <si>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</si>
  <si>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</si>
  <si>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</si>
  <si>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</si>
  <si>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</si>
  <si>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</si>
  <si>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</si>
  <si>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</si>
  <si>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</si>
  <si>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</si>
  <si>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</si>
  <si>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</si>
  <si>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</si>
  <si>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</si>
  <si>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</si>
  <si>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</si>
  <si>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</si>
  <si>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</si>
  <si>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</si>
  <si>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</si>
  <si>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</si>
  <si>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</si>
  <si>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</si>
  <si>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</si>
  <si>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</si>
  <si>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</si>
  <si>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</si>
  <si>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</si>
  <si>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</si>
  <si>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</si>
  <si>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</si>
  <si>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</si>
  <si>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</si>
  <si>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</si>
  <si>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</si>
  <si>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</si>
  <si>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</si>
  <si>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</si>
  <si>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</si>
  <si>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</si>
  <si>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</si>
  <si>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</si>
  <si>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</si>
  <si>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</si>
  <si>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</si>
  <si>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</si>
  <si>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</si>
  <si>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</si>
  <si>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</si>
  <si>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</si>
  <si>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</si>
  <si>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</si>
  <si>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</si>
  <si>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</si>
  <si>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</si>
  <si>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</si>
  <si>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</si>
  <si>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</si>
  <si>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</si>
  <si>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</si>
  <si>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</si>
  <si>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</si>
  <si>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</si>
  <si>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</si>
  <si>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</si>
  <si>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</si>
  <si>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</si>
  <si>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</si>
  <si>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</si>
  <si>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</si>
  <si>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</si>
  <si>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</si>
  <si>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</si>
  <si>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</si>
  <si>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</si>
  <si>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</si>
  <si>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</si>
  <si>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</si>
  <si>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</si>
  <si>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</si>
  <si>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</si>
  <si>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</si>
  <si>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</si>
  <si>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</si>
  <si>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</si>
  <si>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</si>
  <si>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</si>
  <si>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</si>
  <si>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</si>
  <si>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</si>
  <si>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</si>
  <si>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</si>
  <si>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</si>
  <si>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</si>
  <si>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</si>
  <si>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</si>
  <si>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</si>
  <si>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</si>
  <si>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</si>
  <si>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</si>
  <si>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</si>
  <si>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</si>
  <si>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</si>
  <si>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</si>
  <si>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</si>
  <si>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</si>
  <si>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</si>
  <si>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</si>
  <si>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</si>
  <si>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</si>
  <si>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</si>
  <si>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</si>
  <si>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</si>
  <si>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</si>
  <si>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</si>
  <si>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</si>
  <si>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</si>
  <si>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</si>
  <si>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</si>
  <si>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</si>
  <si>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</si>
  <si>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</si>
  <si>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</si>
  <si>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</si>
  <si>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</si>
  <si>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</si>
  <si>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</si>
  <si>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</si>
  <si>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</si>
  <si>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</si>
  <si>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</si>
  <si>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</si>
  <si>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</si>
  <si>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</si>
  <si>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</si>
  <si>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</si>
  <si>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</si>
  <si>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</si>
  <si>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</si>
  <si>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</si>
  <si>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</si>
  <si>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</si>
  <si>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</si>
  <si>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</si>
  <si>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</si>
  <si>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</si>
  <si>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</si>
  <si>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</si>
  <si>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</si>
  <si>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</si>
  <si>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</si>
  <si>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</si>
  <si>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</si>
  <si>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</si>
  <si>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</si>
  <si>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</si>
  <si>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</si>
  <si>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</si>
  <si>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</si>
  <si>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</si>
  <si>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</si>
  <si>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</si>
  <si>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</si>
  <si>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"=SUMIF(H2:H40,"&gt;20")"</t>
  </si>
  <si>
    <t xml:space="preserve">Text to column </t>
  </si>
  <si>
    <t>First select the data column required to be split. Then go to Data tab on ribbon and click Text to column. Select the format to split the data like 'Delimited'. After that select data type and destination, and then click finish.</t>
  </si>
  <si>
    <t>SUM(IFERROR())</t>
  </si>
  <si>
    <t>Used iferror to identify and replace #N/A values with 20</t>
  </si>
  <si>
    <t>d</t>
  </si>
  <si>
    <t>e</t>
  </si>
  <si>
    <t>VLOOKUP() and index and match function()</t>
  </si>
  <si>
    <t>Created the two helper column d &amp; e in table C to get the name from table B and used vlookup() to fetch the data. Then used index and match to find the values from table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</si>
</sst>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20"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8"/>
      <name val="Times New Roman"/>
      <charset val="204"/>
    </font>
    <font>
      <sz val="10"/>
      <color rgb="FF282523"/>
      <name val="Consolas"/>
      <family val="3"/>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6" fontId="7" fillId="0" borderId="0" xfId="0" applyNumberFormat="1" applyFont="1"/>
    <xf numFmtId="166" fontId="3" fillId="0" borderId="0" xfId="0" applyNumberFormat="1" applyFont="1"/>
    <xf numFmtId="0" fontId="8" fillId="0" borderId="1" xfId="0" quotePrefix="1" applyFont="1" applyBorder="1"/>
    <xf numFmtId="0" fontId="3" fillId="0" borderId="0" xfId="0" applyFont="1" applyBorder="1"/>
    <xf numFmtId="0" fontId="19" fillId="0" borderId="0" xfId="0" applyFont="1" applyAlignment="1">
      <alignment horizontal="left" vertic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4">
    <dxf>
      <font>
        <b val="0"/>
        <i val="0"/>
        <strike val="0"/>
        <condense val="0"/>
        <extend val="0"/>
        <outline val="0"/>
        <shadow val="0"/>
        <u val="none"/>
        <vertAlign val="baseline"/>
        <sz val="11"/>
        <color rgb="FF000000"/>
        <name val="Calibri"/>
        <family val="2"/>
        <scheme val="minor"/>
      </font>
      <numFmt numFmtId="0" formatCode="General"/>
    </dxf>
    <dxf>
      <font>
        <b val="0"/>
        <i val="0"/>
        <strike val="0"/>
        <condense val="0"/>
        <extend val="0"/>
        <outline val="0"/>
        <shadow val="0"/>
        <u val="none"/>
        <vertAlign val="baseline"/>
        <sz val="10"/>
        <color rgb="FF000000"/>
        <name val="Calibri"/>
        <family val="2"/>
        <scheme val="minor"/>
      </font>
      <numFmt numFmtId="0" formatCode="General"/>
    </dxf>
    <dxf>
      <font>
        <b val="0"/>
        <i val="0"/>
        <strike val="0"/>
        <condense val="0"/>
        <extend val="0"/>
        <outline val="0"/>
        <shadow val="0"/>
        <u val="none"/>
        <vertAlign val="baseline"/>
        <sz val="11"/>
        <color rgb="FF000000"/>
        <name val="Calibri"/>
        <family val="2"/>
        <scheme val="minor"/>
      </font>
      <numFmt numFmtId="0" formatCode="General"/>
    </dxf>
    <dxf>
      <fill>
        <patternFill>
          <bgColor rgb="FFFFC7CE"/>
        </patternFill>
      </fill>
    </dxf>
    <dxf>
      <fill>
        <patternFill>
          <bgColor rgb="FF92D050"/>
        </patternFill>
      </fill>
    </dxf>
    <dxf>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rgb="FF000000"/>
        <name val="Calibri"/>
        <family val="2"/>
        <scheme val="minor"/>
      </font>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3"/>
      <tableStyleElement type="headerRow"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E7C733-70E9-45F8-94DB-B210A777E435}" name="Table2" displayName="Table2" ref="A22:E35" totalsRowShown="0" headerRowBorderDxfId="11" tableBorderDxfId="10">
  <autoFilter ref="A22:E35" xr:uid="{DCE7C733-70E9-45F8-94DB-B210A777E435}">
    <filterColumn colId="0" hiddenButton="1"/>
    <filterColumn colId="1" hiddenButton="1"/>
    <filterColumn colId="2" hiddenButton="1"/>
    <filterColumn colId="3" hiddenButton="1"/>
    <filterColumn colId="4" hiddenButton="1"/>
  </autoFilter>
  <tableColumns count="5">
    <tableColumn id="1" xr3:uid="{DF9767E9-AD27-4F82-90DF-5638CCA60CFB}" name="name_1" dataDxfId="9"/>
    <tableColumn id="2" xr3:uid="{B88C7C38-5305-4A89-A538-C380798D6979}" name="name_2" dataDxfId="8"/>
    <tableColumn id="4" xr3:uid="{4DA687F4-D0EC-4FB8-BA79-A211B8DDF3C1}" name="d" dataDxfId="2">
      <calculatedColumnFormula>VLOOKUP(A23, $M$9:$N$17, 2, FALSE)</calculatedColumnFormula>
    </tableColumn>
    <tableColumn id="5" xr3:uid="{03FAE8B1-161A-4EF0-A311-420085D865D7}" name="e" dataDxfId="0">
      <calculatedColumnFormula>VLOOKUP(B23, $M$9:$N$18, 2, FALSE)</calculatedColumnFormula>
    </tableColumn>
    <tableColumn id="3" xr3:uid="{437CBCDA-B581-4DD9-949F-F2181FECF902}" name="value" dataDxfId="1">
      <calculatedColumnFormula>INDEX($A$9:$J$18, MATCH(C23, $A$9:$A$18, 0), MATCH(D23, $A$9:$J$9, 0))</calculatedColumnFormula>
    </tableColumn>
  </tableColumns>
  <tableStyleInfo name="TableStyleLight2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8"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63" zoomScaleNormal="63" workbookViewId="0">
      <pane ySplit="1" topLeftCell="A2" activePane="bottomLeft" state="frozen"/>
      <selection pane="bottomLeft" activeCell="H42" sqref="H4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8.6640625" style="44"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3" t="s">
        <v>105</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3">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1" spans="1:24" x14ac:dyDescent="0.3">
      <c r="H41" s="1">
        <f>SUMIF(H2:H40,"&gt;20")</f>
        <v>1473.0000000000002</v>
      </c>
    </row>
  </sheetData>
  <conditionalFormatting sqref="A1:A1048576">
    <cfRule type="duplicateValues" dxfId="7" priority="5"/>
  </conditionalFormatting>
  <conditionalFormatting sqref="B1:B1048576">
    <cfRule type="duplicateValues" dxfId="6" priority="4"/>
  </conditionalFormatting>
  <conditionalFormatting sqref="X3">
    <cfRule type="cellIs" dxfId="5" priority="3" operator="equal">
      <formula>-1</formula>
    </cfRule>
  </conditionalFormatting>
  <conditionalFormatting sqref="G1:W40">
    <cfRule type="cellIs" dxfId="4" priority="1" operator="equal">
      <formula>0</formula>
    </cfRule>
    <cfRule type="cellIs" dxfId="3"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3"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G29" sqref="G29"/>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55</v>
      </c>
      <c r="B1" s="40" t="s">
        <v>163</v>
      </c>
    </row>
    <row r="2" spans="1:7" s="40" customFormat="1" ht="21" x14ac:dyDescent="0.4">
      <c r="B2" s="40" t="s">
        <v>160</v>
      </c>
    </row>
    <row r="3" spans="1:7" ht="14.4" x14ac:dyDescent="0.3">
      <c r="A3" s="1"/>
      <c r="B3" s="1"/>
      <c r="C3" s="1"/>
      <c r="D3" s="1"/>
      <c r="E3" s="1"/>
      <c r="F3" s="1"/>
      <c r="G3" s="1"/>
    </row>
    <row r="4" spans="1:7" ht="23.4" x14ac:dyDescent="0.45">
      <c r="A4" s="17" t="s">
        <v>161</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2">
        <f>VLOOKUP(A6,Dataset!A:W,7,FALSE)</f>
        <v>2.7</v>
      </c>
      <c r="C6" s="12">
        <f>VLOOKUP(A6,Dataset!A:W,14,)</f>
        <v>7.6</v>
      </c>
      <c r="D6" s="12">
        <f>VLOOKUP(A6,Dataset!A:W,18,FALSE)</f>
        <v>4.2</v>
      </c>
      <c r="E6" s="12">
        <f>VLOOKUP(A6,Dataset!A:W,20,FALSE)</f>
        <v>8.9</v>
      </c>
      <c r="F6" s="8">
        <f>VLOOKUP(A6,Dataset!A:W,22,FALSE)</f>
        <v>4.2</v>
      </c>
    </row>
    <row r="7" spans="1:7" ht="14.4" x14ac:dyDescent="0.3">
      <c r="A7" s="7" t="s">
        <v>4</v>
      </c>
      <c r="B7" s="12">
        <f>VLOOKUP(A7,Dataset!A:W,7,FALSE)</f>
        <v>2.7</v>
      </c>
      <c r="C7" s="12">
        <f>VLOOKUP(A7,Dataset!A:W,14,)</f>
        <v>7.6</v>
      </c>
      <c r="D7" s="12">
        <f>VLOOKUP(A7,Dataset!A:W,18,FALSE)</f>
        <v>4.2</v>
      </c>
      <c r="E7" s="12">
        <f>VLOOKUP(A7,Dataset!A:W,20,FALSE)</f>
        <v>8.9</v>
      </c>
      <c r="F7" s="8">
        <f>VLOOKUP(A7,Dataset!A:W,22,FALSE)</f>
        <v>4.2</v>
      </c>
    </row>
    <row r="8" spans="1:7" ht="14.4" x14ac:dyDescent="0.3">
      <c r="A8" s="7" t="s">
        <v>7</v>
      </c>
      <c r="B8" s="12">
        <f>VLOOKUP(A8,Dataset!A:W,7,FALSE)</f>
        <v>3.6</v>
      </c>
      <c r="C8" s="12">
        <f>VLOOKUP(A8,Dataset!A:W,14,)</f>
        <v>11.1</v>
      </c>
      <c r="D8" s="12">
        <f>VLOOKUP(A8,Dataset!A:W,18,FALSE)</f>
        <v>5.8</v>
      </c>
      <c r="E8" s="12">
        <f>VLOOKUP(A8,Dataset!A:W,20,FALSE)</f>
        <v>12.2</v>
      </c>
      <c r="F8" s="8">
        <f>VLOOKUP(A8,Dataset!A:W,22,FALSE)</f>
        <v>5.8</v>
      </c>
    </row>
    <row r="9" spans="1:7" ht="14.4" x14ac:dyDescent="0.3">
      <c r="A9" s="7" t="s">
        <v>8</v>
      </c>
      <c r="B9" s="12">
        <f>VLOOKUP(A9,Dataset!A:W,7,FALSE)</f>
        <v>4.9000000000000004</v>
      </c>
      <c r="C9" s="12">
        <f>VLOOKUP(A9,Dataset!A:W,14,)</f>
        <v>13.3</v>
      </c>
      <c r="D9" s="12">
        <f>VLOOKUP(A9,Dataset!A:W,18,FALSE)</f>
        <v>8.1</v>
      </c>
      <c r="E9" s="12">
        <f>VLOOKUP(A9,Dataset!A:W,20,FALSE)</f>
        <v>17</v>
      </c>
      <c r="F9" s="8">
        <f>VLOOKUP(A9,Dataset!A:W,22,FALSE)</f>
        <v>8.1</v>
      </c>
    </row>
    <row r="10" spans="1:7" ht="14.4" x14ac:dyDescent="0.3">
      <c r="A10" s="7" t="s">
        <v>11</v>
      </c>
      <c r="B10" s="12">
        <f>VLOOKUP(A10,Dataset!A:W,7,FALSE)</f>
        <v>9.4</v>
      </c>
      <c r="C10" s="12">
        <f>VLOOKUP(A10,Dataset!A:W,14,)</f>
        <v>28.3</v>
      </c>
      <c r="D10" s="12">
        <f>VLOOKUP(A10,Dataset!A:W,18,FALSE)</f>
        <v>16.100000000000001</v>
      </c>
      <c r="E10" s="12">
        <f>VLOOKUP(A10,Dataset!A:W,20,FALSE)</f>
        <v>32.799999999999997</v>
      </c>
      <c r="F10" s="8">
        <f>VLOOKUP(A10,Dataset!A:W,22,FALSE)</f>
        <v>16.100000000000001</v>
      </c>
    </row>
    <row r="11" spans="1:7" ht="14.4" x14ac:dyDescent="0.3">
      <c r="A11" s="7" t="s">
        <v>12</v>
      </c>
      <c r="B11" s="12">
        <f>VLOOKUP(A11,Dataset!A:W,7,FALSE)</f>
        <v>11.6</v>
      </c>
      <c r="C11" s="12">
        <f>VLOOKUP(A11,Dataset!A:W,14,)</f>
        <v>35.200000000000003</v>
      </c>
      <c r="D11" s="12">
        <f>VLOOKUP(A11,Dataset!A:W,18,FALSE)</f>
        <v>21.3</v>
      </c>
      <c r="E11" s="12">
        <f>VLOOKUP(A11,Dataset!A:W,20,FALSE)</f>
        <v>43</v>
      </c>
      <c r="F11" s="8">
        <f>VLOOKUP(A11,Dataset!A:W,22,FALSE)</f>
        <v>21.3</v>
      </c>
    </row>
    <row r="12" spans="1:7" ht="14.4" x14ac:dyDescent="0.3">
      <c r="A12" s="7" t="s">
        <v>14</v>
      </c>
      <c r="B12" s="12">
        <f>VLOOKUP(A12,Dataset!A:W,7,FALSE)</f>
        <v>18.399999999999999</v>
      </c>
      <c r="C12" s="12">
        <f>VLOOKUP(A12,Dataset!A:W,14,)</f>
        <v>55.6</v>
      </c>
      <c r="D12" s="12">
        <f>VLOOKUP(A12,Dataset!A:W,18,FALSE)</f>
        <v>33.799999999999997</v>
      </c>
      <c r="E12" s="12">
        <f>VLOOKUP(A12,Dataset!A:W,20,FALSE)</f>
        <v>67.900000000000006</v>
      </c>
      <c r="F12" s="8">
        <f>VLOOKUP(A12,Dataset!A:W,22,FALSE)</f>
        <v>33.799999999999997</v>
      </c>
    </row>
    <row r="13" spans="1:7" ht="14.4" x14ac:dyDescent="0.3">
      <c r="A13" s="7" t="s">
        <v>15</v>
      </c>
      <c r="B13" s="12">
        <f>VLOOKUP(A13,Dataset!A:W,7,FALSE)</f>
        <v>0</v>
      </c>
      <c r="C13" s="12">
        <f>VLOOKUP(A13,Dataset!A:W,14,)</f>
        <v>0</v>
      </c>
      <c r="D13" s="12">
        <f>VLOOKUP(A13,Dataset!A:W,18,FALSE)</f>
        <v>0</v>
      </c>
      <c r="E13" s="12">
        <f>VLOOKUP(A13,Dataset!A:W,20,FALSE)</f>
        <v>0</v>
      </c>
      <c r="F13" s="8">
        <f>VLOOKUP(A13,Dataset!A:W,22,FALSE)</f>
        <v>0</v>
      </c>
    </row>
    <row r="14" spans="1:7" ht="14.4" x14ac:dyDescent="0.3">
      <c r="A14" s="7" t="s">
        <v>16</v>
      </c>
      <c r="B14" s="12">
        <f>VLOOKUP(A14,Dataset!A:W,7,FALSE)</f>
        <v>21.9</v>
      </c>
      <c r="C14" s="12">
        <f>VLOOKUP(A14,Dataset!A:W,14,)</f>
        <v>61.5</v>
      </c>
      <c r="D14" s="12">
        <f>VLOOKUP(A14,Dataset!A:W,18,FALSE)</f>
        <v>40.1</v>
      </c>
      <c r="E14" s="12">
        <f>VLOOKUP(A14,Dataset!A:W,20,FALSE)</f>
        <v>76.599999999999994</v>
      </c>
      <c r="F14" s="8">
        <f>VLOOKUP(A14,Dataset!A:W,22,FALSE)</f>
        <v>40.1</v>
      </c>
    </row>
    <row r="15" spans="1:7" ht="14.4" x14ac:dyDescent="0.3">
      <c r="A15" s="7" t="s">
        <v>18</v>
      </c>
      <c r="B15" s="12">
        <f>VLOOKUP(A15,Dataset!A:W,7,FALSE)</f>
        <v>26.8</v>
      </c>
      <c r="C15" s="12">
        <f>VLOOKUP(A15,Dataset!A:W,14,)</f>
        <v>79.599999999999994</v>
      </c>
      <c r="D15" s="12">
        <f>VLOOKUP(A15,Dataset!A:W,18,FALSE)</f>
        <v>47.9</v>
      </c>
      <c r="E15" s="12">
        <f>VLOOKUP(A15,Dataset!A:W,20,FALSE)</f>
        <v>96.8</v>
      </c>
      <c r="F15" s="8">
        <f>VLOOKUP(A15,Dataset!A:W,22,FALSE)</f>
        <v>47.9</v>
      </c>
    </row>
    <row r="16" spans="1:7" ht="14.4" x14ac:dyDescent="0.3">
      <c r="A16" s="7" t="s">
        <v>20</v>
      </c>
      <c r="B16" s="12">
        <f>VLOOKUP(A16,Dataset!A:W,7,FALSE)</f>
        <v>28.5</v>
      </c>
      <c r="C16" s="12">
        <f>VLOOKUP(A16,Dataset!A:W,14,)</f>
        <v>85.4</v>
      </c>
      <c r="D16" s="12">
        <f>VLOOKUP(A16,Dataset!A:W,18,FALSE)</f>
        <v>52.3</v>
      </c>
      <c r="E16" s="12">
        <f>VLOOKUP(A16,Dataset!A:W,20,FALSE)</f>
        <v>106.1</v>
      </c>
      <c r="F16" s="8">
        <f>VLOOKUP(A16,Dataset!A:W,22,FALSE)</f>
        <v>52.3</v>
      </c>
    </row>
    <row r="17" spans="1:6" ht="14.4" x14ac:dyDescent="0.3">
      <c r="A17" s="7" t="s">
        <v>22</v>
      </c>
      <c r="B17" s="12">
        <f>VLOOKUP(A17,Dataset!A:W,7,FALSE)</f>
        <v>30.7</v>
      </c>
      <c r="C17" s="12">
        <f>VLOOKUP(A17,Dataset!A:W,14,)</f>
        <v>92.1</v>
      </c>
      <c r="D17" s="12">
        <f>VLOOKUP(A17,Dataset!A:W,18,FALSE)</f>
        <v>57</v>
      </c>
      <c r="E17" s="12">
        <f>VLOOKUP(A17,Dataset!A:W,20,FALSE)</f>
        <v>115.1</v>
      </c>
      <c r="F17" s="8">
        <f>VLOOKUP(A17,Dataset!A:W,22,FALSE)</f>
        <v>57</v>
      </c>
    </row>
    <row r="18" spans="1:6" ht="14.4" x14ac:dyDescent="0.3">
      <c r="A18" s="7" t="s">
        <v>23</v>
      </c>
      <c r="B18" s="12">
        <f>VLOOKUP(A18,Dataset!A:W,7,FALSE)</f>
        <v>33.799999999999997</v>
      </c>
      <c r="C18" s="12">
        <f>VLOOKUP(A18,Dataset!A:W,14,)</f>
        <v>101.3</v>
      </c>
      <c r="D18" s="12">
        <f>VLOOKUP(A18,Dataset!A:W,18,FALSE)</f>
        <v>61.4</v>
      </c>
      <c r="E18" s="12">
        <f>VLOOKUP(A18,Dataset!A:W,20,FALSE)</f>
        <v>124.4</v>
      </c>
      <c r="F18" s="8">
        <f>VLOOKUP(A18,Dataset!A:W,22,FALSE)</f>
        <v>61.4</v>
      </c>
    </row>
    <row r="19" spans="1:6" ht="14.4" x14ac:dyDescent="0.3">
      <c r="A19" s="7" t="s">
        <v>24</v>
      </c>
      <c r="B19" s="12">
        <f>VLOOKUP(A19,Dataset!A:W,7,FALSE)</f>
        <v>34.700000000000003</v>
      </c>
      <c r="C19" s="12">
        <f>VLOOKUP(A19,Dataset!A:W,14,)</f>
        <v>106.1</v>
      </c>
      <c r="D19" s="12">
        <f>VLOOKUP(A19,Dataset!A:W,18,FALSE)</f>
        <v>63.6</v>
      </c>
      <c r="E19" s="12">
        <f>VLOOKUP(A19,Dataset!A:W,20,FALSE)</f>
        <v>128.6</v>
      </c>
      <c r="F19" s="8">
        <f>VLOOKUP(A19,Dataset!A:W,22,FALSE)</f>
        <v>63.6</v>
      </c>
    </row>
    <row r="20" spans="1:6" ht="14.4" x14ac:dyDescent="0.3">
      <c r="A20" s="7" t="s">
        <v>28</v>
      </c>
      <c r="B20" s="12">
        <f>VLOOKUP(A20,Dataset!A:W,7,FALSE)</f>
        <v>0</v>
      </c>
      <c r="C20" s="12">
        <f>VLOOKUP(A20,Dataset!A:W,14,)</f>
        <v>0</v>
      </c>
      <c r="D20" s="12">
        <f>VLOOKUP(A20,Dataset!A:W,18,FALSE)</f>
        <v>0</v>
      </c>
      <c r="E20" s="12">
        <f>VLOOKUP(A20,Dataset!A:W,20,FALSE)</f>
        <v>0</v>
      </c>
      <c r="F20" s="8">
        <f>VLOOKUP(A20,Dataset!A:W,22,FALSE)</f>
        <v>0</v>
      </c>
    </row>
    <row r="21" spans="1:6" ht="14.4" x14ac:dyDescent="0.3">
      <c r="A21" s="7" t="s">
        <v>57</v>
      </c>
      <c r="B21" s="12">
        <f>VLOOKUP(A21,Dataset!A:W,7,FALSE)</f>
        <v>41.3</v>
      </c>
      <c r="C21" s="12">
        <f>VLOOKUP(A21,Dataset!A:W,14,)</f>
        <v>124.4</v>
      </c>
      <c r="D21" s="12">
        <f>VLOOKUP(A21,Dataset!A:W,18,FALSE)</f>
        <v>75</v>
      </c>
      <c r="E21" s="12">
        <f>VLOOKUP(A21,Dataset!A:W,20,FALSE)</f>
        <v>151.5</v>
      </c>
      <c r="F21" s="8">
        <f>VLOOKUP(A21,Dataset!A:W,22,FALSE)</f>
        <v>75</v>
      </c>
    </row>
    <row r="22" spans="1:6" ht="14.4" x14ac:dyDescent="0.3">
      <c r="A22" s="7" t="s">
        <v>58</v>
      </c>
      <c r="B22" s="12">
        <f>VLOOKUP(A22,Dataset!A:W,7,FALSE)</f>
        <v>-1</v>
      </c>
      <c r="C22" s="12">
        <f>VLOOKUP(A22,Dataset!A:W,14,)</f>
        <v>-1</v>
      </c>
      <c r="D22" s="12">
        <f>VLOOKUP(A22,Dataset!A:W,18,FALSE)</f>
        <v>-1</v>
      </c>
      <c r="E22" s="12">
        <f>VLOOKUP(A22,Dataset!A:W,20,FALSE)</f>
        <v>-1</v>
      </c>
      <c r="F22" s="8">
        <f>VLOOKUP(A22,Dataset!A:W,22,FALSE)</f>
        <v>-1</v>
      </c>
    </row>
    <row r="23" spans="1:6" ht="14.4" x14ac:dyDescent="0.3">
      <c r="A23" s="7" t="s">
        <v>31</v>
      </c>
      <c r="B23" s="12">
        <f>VLOOKUP(A23,Dataset!A:W,7,FALSE)</f>
        <v>45</v>
      </c>
      <c r="C23" s="12">
        <f>VLOOKUP(A23,Dataset!A:W,14,)</f>
        <v>133.4</v>
      </c>
      <c r="D23" s="12">
        <f>VLOOKUP(A23,Dataset!A:W,18,FALSE)</f>
        <v>79.400000000000006</v>
      </c>
      <c r="E23" s="12">
        <f>VLOOKUP(A23,Dataset!A:W,20,FALSE)</f>
        <v>160.9</v>
      </c>
      <c r="F23" s="8">
        <f>VLOOKUP(A23,Dataset!A:W,22,FALSE)</f>
        <v>79.400000000000006</v>
      </c>
    </row>
    <row r="24" spans="1:6" ht="14.4" x14ac:dyDescent="0.3">
      <c r="A24" s="7" t="s">
        <v>32</v>
      </c>
      <c r="B24" s="12">
        <f>VLOOKUP(A24,Dataset!A:W,7,FALSE)</f>
        <v>-1</v>
      </c>
      <c r="C24" s="12">
        <f>VLOOKUP(A24,Dataset!A:W,14,)</f>
        <v>-1</v>
      </c>
      <c r="D24" s="12">
        <f>VLOOKUP(A24,Dataset!A:W,18,FALSE)</f>
        <v>-1</v>
      </c>
      <c r="E24" s="12">
        <f>VLOOKUP(A24,Dataset!A:W,20,FALSE)</f>
        <v>-1</v>
      </c>
      <c r="F24" s="8">
        <f>VLOOKUP(A24,Dataset!A:W,22,FALSE)</f>
        <v>-1</v>
      </c>
    </row>
    <row r="25" spans="1:6" ht="14.4" x14ac:dyDescent="0.3">
      <c r="A25" s="7" t="s">
        <v>34</v>
      </c>
      <c r="B25" s="12">
        <f>VLOOKUP(A25,Dataset!A:W,7,FALSE)</f>
        <v>43.3</v>
      </c>
      <c r="C25" s="12">
        <f>VLOOKUP(A25,Dataset!A:W,14,)</f>
        <v>128.6</v>
      </c>
      <c r="D25" s="12">
        <f>VLOOKUP(A25,Dataset!A:W,18,FALSE)</f>
        <v>79.400000000000006</v>
      </c>
      <c r="E25" s="12">
        <f>VLOOKUP(A25,Dataset!A:W,20,FALSE)</f>
        <v>160.9</v>
      </c>
      <c r="F25" s="8">
        <f>VLOOKUP(A25,Dataset!A:W,22,FALSE)</f>
        <v>79.400000000000006</v>
      </c>
    </row>
    <row r="26" spans="1:6" ht="14.4" x14ac:dyDescent="0.3">
      <c r="A26" s="7" t="s">
        <v>37</v>
      </c>
      <c r="B26" s="12">
        <f>VLOOKUP(A26,Dataset!A:W,7,FALSE)</f>
        <v>49.1</v>
      </c>
      <c r="C26" s="12">
        <f>VLOOKUP(A26,Dataset!A:W,14,)</f>
        <v>146.80000000000001</v>
      </c>
      <c r="D26" s="12">
        <f>VLOOKUP(A26,Dataset!A:W,18,FALSE)</f>
        <v>90.9</v>
      </c>
      <c r="E26" s="12">
        <f>VLOOKUP(A26,Dataset!A:W,20,FALSE)</f>
        <v>183.5</v>
      </c>
      <c r="F26" s="8">
        <f>VLOOKUP(A26,Dataset!A:W,22,FALSE)</f>
        <v>90.9</v>
      </c>
    </row>
    <row r="27" spans="1:6" ht="14.4" x14ac:dyDescent="0.3">
      <c r="A27" s="7" t="s">
        <v>39</v>
      </c>
      <c r="B27" s="12">
        <f>VLOOKUP(A27,Dataset!A:W,7,FALSE)</f>
        <v>51.8</v>
      </c>
      <c r="C27" s="12">
        <f>VLOOKUP(A27,Dataset!A:W,14,)</f>
        <v>156.4</v>
      </c>
      <c r="D27" s="12">
        <f>VLOOKUP(A27,Dataset!A:W,18,FALSE)</f>
        <v>93.1</v>
      </c>
      <c r="E27" s="12">
        <f>VLOOKUP(A27,Dataset!A:W,20,FALSE)</f>
        <v>188.1</v>
      </c>
      <c r="F27" s="8">
        <f>VLOOKUP(A27,Dataset!A:W,22,FALSE)</f>
        <v>93.1</v>
      </c>
    </row>
    <row r="28" spans="1:6" ht="14.4" x14ac:dyDescent="0.3">
      <c r="A28" s="18" t="s">
        <v>82</v>
      </c>
      <c r="B28" s="30">
        <f>MIN(B6:B27)</f>
        <v>-1</v>
      </c>
      <c r="C28" s="30">
        <f>MIN(C6:C27)</f>
        <v>-1</v>
      </c>
      <c r="D28" s="30">
        <f t="shared" ref="D28:F28" si="0">MIN(D6:D27)</f>
        <v>-1</v>
      </c>
      <c r="E28" s="30">
        <f t="shared" si="0"/>
        <v>-1</v>
      </c>
      <c r="F28" s="30">
        <f t="shared" si="0"/>
        <v>-1</v>
      </c>
    </row>
    <row r="29" spans="1:6" ht="14.4" x14ac:dyDescent="0.3">
      <c r="A29" s="18" t="s">
        <v>83</v>
      </c>
      <c r="B29" s="30">
        <f>MAX(B6:B27)</f>
        <v>51.8</v>
      </c>
      <c r="C29" s="30">
        <f t="shared" ref="C29:F29" si="1">MAX(C6:C27)</f>
        <v>156.4</v>
      </c>
      <c r="D29" s="30">
        <f t="shared" si="1"/>
        <v>93.1</v>
      </c>
      <c r="E29" s="30">
        <f t="shared" si="1"/>
        <v>188.1</v>
      </c>
      <c r="F29" s="30">
        <f t="shared" si="1"/>
        <v>93.1</v>
      </c>
    </row>
    <row r="30" spans="1:6" ht="14.4" x14ac:dyDescent="0.3">
      <c r="A30" s="18"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A15" sqref="A15"/>
    </sheetView>
  </sheetViews>
  <sheetFormatPr defaultColWidth="11" defaultRowHeight="14.4" x14ac:dyDescent="0.3"/>
  <cols>
    <col min="1" max="1" width="39.77734375" style="1" bestFit="1" customWidth="1"/>
    <col min="2" max="16384" width="11" style="1"/>
  </cols>
  <sheetData>
    <row r="1" spans="1:10" s="40" customFormat="1" ht="21" x14ac:dyDescent="0.4">
      <c r="A1" s="41" t="s">
        <v>56</v>
      </c>
      <c r="B1" s="40" t="s">
        <v>173</v>
      </c>
    </row>
    <row r="2" spans="1:10" customFormat="1" ht="13.2" x14ac:dyDescent="0.25"/>
    <row r="3" spans="1:10" s="2" customFormat="1" x14ac:dyDescent="0.3">
      <c r="B3" s="1"/>
    </row>
    <row r="4" spans="1:10" s="2" customFormat="1" x14ac:dyDescent="0.3">
      <c r="B4" s="1" t="s">
        <v>150</v>
      </c>
    </row>
    <row r="5" spans="1:10" ht="18" x14ac:dyDescent="0.35">
      <c r="A5" s="42" t="s">
        <v>53</v>
      </c>
      <c r="B5" s="39" t="s">
        <v>178</v>
      </c>
    </row>
    <row r="6" spans="1:10" ht="18" x14ac:dyDescent="0.35">
      <c r="A6" s="42" t="s">
        <v>152</v>
      </c>
      <c r="B6" s="39" t="s">
        <v>179</v>
      </c>
    </row>
    <row r="7" spans="1:10" ht="18" x14ac:dyDescent="0.35">
      <c r="A7" s="42"/>
      <c r="B7" s="39"/>
    </row>
    <row r="9" spans="1:10" ht="23.4" x14ac:dyDescent="0.45">
      <c r="A9" s="17" t="s">
        <v>164</v>
      </c>
      <c r="I9" s="2"/>
      <c r="J9" s="2"/>
    </row>
    <row r="10" spans="1:10" x14ac:dyDescent="0.3">
      <c r="A10" s="32" t="s">
        <v>102</v>
      </c>
      <c r="B10" s="16" t="s">
        <v>49</v>
      </c>
      <c r="C10" s="16" t="s">
        <v>50</v>
      </c>
      <c r="D10" s="16" t="s">
        <v>51</v>
      </c>
      <c r="E10" s="16" t="s">
        <v>52</v>
      </c>
      <c r="F10" s="16" t="s">
        <v>54</v>
      </c>
      <c r="I10" s="2"/>
      <c r="J10" s="2"/>
    </row>
    <row r="11" spans="1:10" x14ac:dyDescent="0.3">
      <c r="A11" s="9" t="s">
        <v>120</v>
      </c>
      <c r="B11" s="13">
        <v>20000</v>
      </c>
      <c r="C11" s="13" t="s">
        <v>5</v>
      </c>
      <c r="D11" s="13">
        <v>0</v>
      </c>
      <c r="E11" s="11" t="s">
        <v>6</v>
      </c>
      <c r="F11" s="11">
        <v>24</v>
      </c>
      <c r="I11" s="2"/>
      <c r="J11" s="2"/>
    </row>
    <row r="14" spans="1:10" ht="23.4" x14ac:dyDescent="0.45">
      <c r="A14" s="17" t="s">
        <v>161</v>
      </c>
    </row>
    <row r="15" spans="1:10" x14ac:dyDescent="0.3">
      <c r="A15" s="14" t="s">
        <v>103</v>
      </c>
      <c r="B15" s="16" t="s">
        <v>49</v>
      </c>
      <c r="C15" s="15" t="s">
        <v>50</v>
      </c>
      <c r="D15" s="16" t="s">
        <v>51</v>
      </c>
      <c r="E15" s="15" t="s">
        <v>52</v>
      </c>
      <c r="F15" s="16" t="s">
        <v>54</v>
      </c>
    </row>
    <row r="16" spans="1:10"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B8" sqref="B8"/>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1" t="s">
        <v>85</v>
      </c>
      <c r="B1" s="40" t="s">
        <v>166</v>
      </c>
    </row>
    <row r="2" spans="1:3" ht="18" x14ac:dyDescent="0.35">
      <c r="B2" s="39" t="s">
        <v>165</v>
      </c>
    </row>
    <row r="5" spans="1:3" ht="14.4" x14ac:dyDescent="0.3">
      <c r="B5" s="1" t="s">
        <v>150</v>
      </c>
    </row>
    <row r="6" spans="1:3" ht="14.4" x14ac:dyDescent="0.3">
      <c r="A6" s="3" t="s">
        <v>53</v>
      </c>
      <c r="B6" s="1" t="s">
        <v>180</v>
      </c>
    </row>
    <row r="7" spans="1:3" ht="14.4" x14ac:dyDescent="0.3">
      <c r="A7" s="3" t="s">
        <v>152</v>
      </c>
      <c r="B7" s="1" t="s">
        <v>181</v>
      </c>
    </row>
    <row r="10" spans="1:3" ht="23.4" x14ac:dyDescent="0.45">
      <c r="A10" s="17" t="s">
        <v>161</v>
      </c>
    </row>
    <row r="11" spans="1:3" ht="14.4" x14ac:dyDescent="0.3">
      <c r="A11" s="31" t="s">
        <v>86</v>
      </c>
      <c r="B11" s="16" t="s">
        <v>87</v>
      </c>
      <c r="C11" s="16" t="s">
        <v>88</v>
      </c>
    </row>
    <row r="12" spans="1:3" ht="14.4" x14ac:dyDescent="0.3">
      <c r="A12" s="31">
        <v>44927</v>
      </c>
      <c r="B12" s="16" t="s">
        <v>59</v>
      </c>
      <c r="C12" s="16">
        <v>200</v>
      </c>
    </row>
    <row r="13" spans="1:3" ht="14.4" x14ac:dyDescent="0.3">
      <c r="A13" s="31">
        <v>44928</v>
      </c>
      <c r="B13" s="16" t="s">
        <v>60</v>
      </c>
      <c r="C13" s="16" t="e">
        <v>#N/A</v>
      </c>
    </row>
    <row r="14" spans="1:3" ht="14.4" x14ac:dyDescent="0.3">
      <c r="A14" s="31">
        <v>44929</v>
      </c>
      <c r="B14" s="16" t="s">
        <v>61</v>
      </c>
      <c r="C14" s="16">
        <v>50</v>
      </c>
    </row>
    <row r="15" spans="1:3" ht="14.4" x14ac:dyDescent="0.3">
      <c r="A15" s="31">
        <v>44930</v>
      </c>
      <c r="B15" s="16" t="s">
        <v>62</v>
      </c>
      <c r="C15" s="16" t="e">
        <v>#N/A</v>
      </c>
    </row>
    <row r="16" spans="1:3" ht="14.4" x14ac:dyDescent="0.3">
      <c r="A16" s="31">
        <v>44931</v>
      </c>
      <c r="B16" s="16" t="s">
        <v>63</v>
      </c>
      <c r="C16" s="16">
        <v>10</v>
      </c>
    </row>
    <row r="17" spans="1:3" ht="14.4" x14ac:dyDescent="0.3">
      <c r="A17" s="31">
        <v>44932</v>
      </c>
      <c r="B17" s="16" t="s">
        <v>153</v>
      </c>
      <c r="C17" s="16">
        <v>150</v>
      </c>
    </row>
    <row r="18" spans="1:3" ht="14.4" x14ac:dyDescent="0.3">
      <c r="A18" s="31">
        <v>44933</v>
      </c>
      <c r="B18" s="16" t="s">
        <v>154</v>
      </c>
      <c r="C18" s="16">
        <v>80</v>
      </c>
    </row>
    <row r="19" spans="1:3" ht="14.4" x14ac:dyDescent="0.3">
      <c r="A19" s="31">
        <v>44934</v>
      </c>
      <c r="B19" s="16" t="s">
        <v>155</v>
      </c>
      <c r="C19" s="16" t="e">
        <v>#N/A</v>
      </c>
    </row>
    <row r="20" spans="1:3" ht="14.4" x14ac:dyDescent="0.3">
      <c r="A20" s="31">
        <v>44935</v>
      </c>
      <c r="B20" s="16" t="s">
        <v>156</v>
      </c>
      <c r="C20" s="16">
        <v>30</v>
      </c>
    </row>
    <row r="21" spans="1:3" ht="14.4" x14ac:dyDescent="0.3">
      <c r="A21" s="31">
        <v>44936</v>
      </c>
      <c r="B21" s="16" t="s">
        <v>157</v>
      </c>
      <c r="C21" s="16" t="e">
        <v>#N/A</v>
      </c>
    </row>
    <row r="22" spans="1:3" ht="14.4" x14ac:dyDescent="0.3">
      <c r="B22" s="16" t="s">
        <v>158</v>
      </c>
      <c r="C22" s="45">
        <f t="array" ref="C22">SUM(IFERROR(C12:C21,20))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91" zoomScaleNormal="100" workbookViewId="0">
      <selection activeCell="B6" sqref="B6"/>
    </sheetView>
  </sheetViews>
  <sheetFormatPr defaultColWidth="11" defaultRowHeight="13.8" x14ac:dyDescent="0.3"/>
  <cols>
    <col min="1" max="1" width="28.21875" style="2" bestFit="1" customWidth="1"/>
    <col min="2" max="16384" width="11" style="2"/>
  </cols>
  <sheetData>
    <row r="1" spans="1:14" ht="21" x14ac:dyDescent="0.4">
      <c r="A1" s="41" t="s">
        <v>98</v>
      </c>
      <c r="B1" s="40" t="s">
        <v>174</v>
      </c>
    </row>
    <row r="3" spans="1:14" ht="14.4" x14ac:dyDescent="0.3">
      <c r="B3" s="1" t="s">
        <v>150</v>
      </c>
    </row>
    <row r="4" spans="1:14" ht="18" x14ac:dyDescent="0.35">
      <c r="A4" s="42" t="s">
        <v>53</v>
      </c>
      <c r="B4" s="1" t="s">
        <v>184</v>
      </c>
    </row>
    <row r="5" spans="1:14" ht="18" x14ac:dyDescent="0.35">
      <c r="A5" s="42" t="s">
        <v>152</v>
      </c>
      <c r="B5" s="1" t="s">
        <v>185</v>
      </c>
    </row>
    <row r="6" spans="1:14" ht="14.4" x14ac:dyDescent="0.3">
      <c r="A6" s="3"/>
      <c r="B6" s="1"/>
    </row>
    <row r="8" spans="1:14" ht="23.4" x14ac:dyDescent="0.45">
      <c r="A8" s="17" t="s">
        <v>161</v>
      </c>
      <c r="M8" s="17" t="s">
        <v>162</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2">
        <v>10100</v>
      </c>
      <c r="N10" s="12" t="s">
        <v>89</v>
      </c>
    </row>
    <row r="11" spans="1:14" ht="14.4" x14ac:dyDescent="0.3">
      <c r="A11" s="25" t="s">
        <v>90</v>
      </c>
      <c r="B11" s="24">
        <v>95</v>
      </c>
      <c r="C11" s="24">
        <v>-1</v>
      </c>
      <c r="D11" s="24">
        <v>-1</v>
      </c>
      <c r="E11" s="24">
        <v>90</v>
      </c>
      <c r="F11" s="24">
        <v>160</v>
      </c>
      <c r="G11" s="24">
        <v>210</v>
      </c>
      <c r="H11" s="24">
        <v>325</v>
      </c>
      <c r="I11" s="24">
        <v>390</v>
      </c>
      <c r="J11" s="24">
        <v>430</v>
      </c>
      <c r="M11" s="12">
        <v>10102</v>
      </c>
      <c r="N11" s="12" t="s">
        <v>90</v>
      </c>
    </row>
    <row r="12" spans="1:14" ht="14.4" x14ac:dyDescent="0.3">
      <c r="A12" s="25" t="s">
        <v>91</v>
      </c>
      <c r="B12" s="24">
        <v>-1</v>
      </c>
      <c r="C12" s="24">
        <v>-1</v>
      </c>
      <c r="D12" s="24">
        <v>-1</v>
      </c>
      <c r="E12" s="24">
        <v>60</v>
      </c>
      <c r="F12" s="24">
        <v>130</v>
      </c>
      <c r="G12" s="24">
        <v>180</v>
      </c>
      <c r="H12" s="24">
        <v>295</v>
      </c>
      <c r="I12" s="24">
        <v>355</v>
      </c>
      <c r="J12" s="24">
        <v>400</v>
      </c>
      <c r="M12" s="12">
        <v>10104</v>
      </c>
      <c r="N12" s="12" t="s">
        <v>91</v>
      </c>
    </row>
    <row r="13" spans="1:14" ht="14.4" x14ac:dyDescent="0.3">
      <c r="A13" s="25" t="s">
        <v>92</v>
      </c>
      <c r="B13" s="24">
        <v>185</v>
      </c>
      <c r="C13" s="24">
        <v>90</v>
      </c>
      <c r="D13" s="24">
        <v>60</v>
      </c>
      <c r="E13" s="24">
        <v>-1</v>
      </c>
      <c r="F13" s="24">
        <v>70</v>
      </c>
      <c r="G13" s="24">
        <v>120</v>
      </c>
      <c r="H13" s="24">
        <v>235</v>
      </c>
      <c r="I13" s="24">
        <v>300</v>
      </c>
      <c r="J13" s="24">
        <v>340</v>
      </c>
      <c r="M13" s="12">
        <v>10106</v>
      </c>
      <c r="N13" s="12" t="s">
        <v>92</v>
      </c>
    </row>
    <row r="14" spans="1:14" ht="14.4" x14ac:dyDescent="0.3">
      <c r="A14" s="25" t="s">
        <v>93</v>
      </c>
      <c r="B14" s="24">
        <v>255</v>
      </c>
      <c r="C14" s="24">
        <v>160</v>
      </c>
      <c r="D14" s="24">
        <v>130</v>
      </c>
      <c r="E14" s="24">
        <v>70</v>
      </c>
      <c r="F14" s="24">
        <v>-1</v>
      </c>
      <c r="G14" s="24">
        <v>50</v>
      </c>
      <c r="H14" s="24">
        <v>165</v>
      </c>
      <c r="I14" s="24">
        <v>230</v>
      </c>
      <c r="J14" s="24">
        <v>270</v>
      </c>
      <c r="M14" s="12">
        <v>10108</v>
      </c>
      <c r="N14" s="12" t="s">
        <v>93</v>
      </c>
    </row>
    <row r="15" spans="1:14" ht="14.4" x14ac:dyDescent="0.3">
      <c r="A15" s="25" t="s">
        <v>94</v>
      </c>
      <c r="B15" s="24">
        <v>305</v>
      </c>
      <c r="C15" s="24">
        <v>210</v>
      </c>
      <c r="D15" s="24">
        <v>180</v>
      </c>
      <c r="E15" s="24">
        <v>120</v>
      </c>
      <c r="F15" s="24">
        <v>50</v>
      </c>
      <c r="G15" s="24">
        <v>-1</v>
      </c>
      <c r="H15" s="24">
        <v>115</v>
      </c>
      <c r="I15" s="24">
        <v>180</v>
      </c>
      <c r="J15" s="24">
        <v>220</v>
      </c>
      <c r="M15" s="12">
        <v>10110</v>
      </c>
      <c r="N15" s="12" t="s">
        <v>94</v>
      </c>
    </row>
    <row r="16" spans="1:14" ht="14.4" x14ac:dyDescent="0.3">
      <c r="A16" s="25" t="s">
        <v>95</v>
      </c>
      <c r="B16" s="24">
        <v>415</v>
      </c>
      <c r="C16" s="24">
        <v>325</v>
      </c>
      <c r="D16" s="24">
        <v>295</v>
      </c>
      <c r="E16" s="24">
        <v>235</v>
      </c>
      <c r="F16" s="24">
        <v>165</v>
      </c>
      <c r="G16" s="24">
        <v>115</v>
      </c>
      <c r="H16" s="24">
        <v>-1</v>
      </c>
      <c r="I16" s="24">
        <v>65</v>
      </c>
      <c r="J16" s="24">
        <v>105</v>
      </c>
      <c r="M16" s="12">
        <v>10112</v>
      </c>
      <c r="N16" s="12" t="s">
        <v>95</v>
      </c>
    </row>
    <row r="17" spans="1:14" ht="14.4" x14ac:dyDescent="0.3">
      <c r="A17" s="25" t="s">
        <v>96</v>
      </c>
      <c r="B17" s="24">
        <v>480</v>
      </c>
      <c r="C17" s="24">
        <v>390</v>
      </c>
      <c r="D17" s="24">
        <v>355</v>
      </c>
      <c r="E17" s="24">
        <v>300</v>
      </c>
      <c r="F17" s="24">
        <v>230</v>
      </c>
      <c r="G17" s="24">
        <v>180</v>
      </c>
      <c r="H17" s="24">
        <v>65</v>
      </c>
      <c r="I17" s="24">
        <v>-1</v>
      </c>
      <c r="J17" s="24">
        <v>40</v>
      </c>
      <c r="M17" s="12">
        <v>10114</v>
      </c>
      <c r="N17" s="12" t="s">
        <v>96</v>
      </c>
    </row>
    <row r="18" spans="1:14" ht="14.4" x14ac:dyDescent="0.3">
      <c r="A18" s="25" t="s">
        <v>97</v>
      </c>
      <c r="B18" s="24">
        <v>525</v>
      </c>
      <c r="C18" s="24">
        <v>430</v>
      </c>
      <c r="D18" s="24">
        <v>400</v>
      </c>
      <c r="E18" s="24">
        <v>340</v>
      </c>
      <c r="F18" s="24">
        <v>270</v>
      </c>
      <c r="G18" s="24">
        <v>220</v>
      </c>
      <c r="H18" s="24">
        <v>105</v>
      </c>
      <c r="I18" s="24">
        <v>40</v>
      </c>
      <c r="J18" s="24">
        <v>-1</v>
      </c>
      <c r="M18" s="13">
        <v>10116</v>
      </c>
      <c r="N18" s="13" t="s">
        <v>97</v>
      </c>
    </row>
    <row r="21" spans="1:14" ht="23.4" x14ac:dyDescent="0.45">
      <c r="A21" s="17" t="s">
        <v>167</v>
      </c>
    </row>
    <row r="22" spans="1:14" ht="14.4" x14ac:dyDescent="0.3">
      <c r="A22" s="10" t="s">
        <v>100</v>
      </c>
      <c r="B22" s="13" t="s">
        <v>101</v>
      </c>
      <c r="C22" s="10" t="s">
        <v>182</v>
      </c>
      <c r="D22" s="10" t="s">
        <v>183</v>
      </c>
      <c r="E22" s="10" t="s">
        <v>102</v>
      </c>
    </row>
    <row r="23" spans="1:14" ht="14.4" x14ac:dyDescent="0.3">
      <c r="A23" s="1">
        <v>10100</v>
      </c>
      <c r="B23" s="12">
        <v>10102</v>
      </c>
      <c r="C23" s="47" t="str">
        <f>VLOOKUP(A23, $M$9:$N$17, 2, FALSE)</f>
        <v>A</v>
      </c>
      <c r="D23" s="46" t="str">
        <f t="shared" ref="D23:D35" si="0">VLOOKUP(B23, $M$9:$N$18, 2, FALSE)</f>
        <v>B</v>
      </c>
      <c r="E23" s="2">
        <f t="shared" ref="E23:E35" si="1">INDEX($A$9:$J$18, MATCH(C23, $A$9:$A$18, 0), MATCH(D23, $A$9:$J$9, 0))</f>
        <v>95</v>
      </c>
    </row>
    <row r="24" spans="1:14" ht="14.4" x14ac:dyDescent="0.3">
      <c r="A24" s="1">
        <v>10100</v>
      </c>
      <c r="B24" s="12">
        <v>10104</v>
      </c>
      <c r="C24" s="46" t="str">
        <f t="shared" ref="C23:C35" si="2">VLOOKUP(A24, $M$9:$N$17, 2, FALSE)</f>
        <v>A</v>
      </c>
      <c r="D24" s="46" t="str">
        <f t="shared" si="0"/>
        <v>C</v>
      </c>
      <c r="E24" s="2">
        <f t="shared" si="1"/>
        <v>-1</v>
      </c>
    </row>
    <row r="25" spans="1:14" ht="14.4" x14ac:dyDescent="0.3">
      <c r="A25" s="1">
        <v>10108</v>
      </c>
      <c r="B25" s="12">
        <v>10102</v>
      </c>
      <c r="C25" s="46" t="str">
        <f t="shared" si="2"/>
        <v>E</v>
      </c>
      <c r="D25" s="46" t="str">
        <f t="shared" si="0"/>
        <v>B</v>
      </c>
      <c r="E25" s="2">
        <f t="shared" si="1"/>
        <v>160</v>
      </c>
    </row>
    <row r="26" spans="1:14" ht="14.4" x14ac:dyDescent="0.3">
      <c r="A26" s="1">
        <v>10100</v>
      </c>
      <c r="B26" s="12">
        <v>10106</v>
      </c>
      <c r="C26" s="46" t="str">
        <f t="shared" si="2"/>
        <v>A</v>
      </c>
      <c r="D26" s="46" t="str">
        <f t="shared" si="0"/>
        <v>D</v>
      </c>
      <c r="E26" s="2">
        <f t="shared" si="1"/>
        <v>185</v>
      </c>
    </row>
    <row r="27" spans="1:14" ht="14.4" x14ac:dyDescent="0.3">
      <c r="A27" s="1">
        <v>10108</v>
      </c>
      <c r="B27" s="12">
        <v>10110</v>
      </c>
      <c r="C27" s="46" t="str">
        <f t="shared" si="2"/>
        <v>E</v>
      </c>
      <c r="D27" s="46" t="str">
        <f t="shared" si="0"/>
        <v>F</v>
      </c>
      <c r="E27" s="2">
        <f t="shared" si="1"/>
        <v>50</v>
      </c>
    </row>
    <row r="28" spans="1:14" ht="14.4" x14ac:dyDescent="0.3">
      <c r="A28" s="1">
        <v>10102</v>
      </c>
      <c r="B28" s="12">
        <v>10104</v>
      </c>
      <c r="C28" s="46" t="str">
        <f t="shared" si="2"/>
        <v>B</v>
      </c>
      <c r="D28" s="46" t="str">
        <f t="shared" si="0"/>
        <v>C</v>
      </c>
      <c r="E28" s="2">
        <f t="shared" si="1"/>
        <v>-1</v>
      </c>
    </row>
    <row r="29" spans="1:14" ht="14.4" x14ac:dyDescent="0.3">
      <c r="A29" s="1">
        <v>10106</v>
      </c>
      <c r="B29" s="12">
        <v>10108</v>
      </c>
      <c r="C29" s="46" t="str">
        <f t="shared" si="2"/>
        <v>D</v>
      </c>
      <c r="D29" s="46" t="str">
        <f t="shared" si="0"/>
        <v>E</v>
      </c>
      <c r="E29" s="2">
        <f t="shared" si="1"/>
        <v>70</v>
      </c>
    </row>
    <row r="30" spans="1:14" ht="14.4" x14ac:dyDescent="0.3">
      <c r="A30" s="1">
        <v>10102</v>
      </c>
      <c r="B30" s="12">
        <v>10106</v>
      </c>
      <c r="C30" s="46" t="str">
        <f t="shared" si="2"/>
        <v>B</v>
      </c>
      <c r="D30" s="46" t="str">
        <f t="shared" si="0"/>
        <v>D</v>
      </c>
      <c r="E30" s="2">
        <f t="shared" si="1"/>
        <v>90</v>
      </c>
    </row>
    <row r="31" spans="1:14" ht="14.4" x14ac:dyDescent="0.3">
      <c r="A31" s="1">
        <v>10110</v>
      </c>
      <c r="B31" s="12">
        <v>10114</v>
      </c>
      <c r="C31" s="46" t="str">
        <f t="shared" si="2"/>
        <v>F</v>
      </c>
      <c r="D31" s="46" t="str">
        <f t="shared" si="0"/>
        <v>H</v>
      </c>
      <c r="E31" s="2">
        <f t="shared" si="1"/>
        <v>180</v>
      </c>
    </row>
    <row r="32" spans="1:14" ht="14.4" x14ac:dyDescent="0.3">
      <c r="A32" s="1">
        <v>10104</v>
      </c>
      <c r="B32" s="12">
        <v>10106</v>
      </c>
      <c r="C32" s="46" t="str">
        <f t="shared" si="2"/>
        <v>C</v>
      </c>
      <c r="D32" s="46" t="str">
        <f t="shared" si="0"/>
        <v>D</v>
      </c>
      <c r="E32" s="2">
        <f t="shared" si="1"/>
        <v>60</v>
      </c>
    </row>
    <row r="33" spans="1:5" ht="14.4" x14ac:dyDescent="0.3">
      <c r="A33" s="1">
        <v>10110</v>
      </c>
      <c r="B33" s="12">
        <v>10112</v>
      </c>
      <c r="C33" s="46" t="str">
        <f t="shared" si="2"/>
        <v>F</v>
      </c>
      <c r="D33" s="46" t="str">
        <f t="shared" si="0"/>
        <v>G</v>
      </c>
      <c r="E33" s="2">
        <f t="shared" si="1"/>
        <v>115</v>
      </c>
    </row>
    <row r="34" spans="1:5" ht="14.4" x14ac:dyDescent="0.3">
      <c r="A34" s="1">
        <v>10100</v>
      </c>
      <c r="B34" s="12">
        <v>10114</v>
      </c>
      <c r="C34" s="46" t="str">
        <f t="shared" si="2"/>
        <v>A</v>
      </c>
      <c r="D34" s="46" t="str">
        <f t="shared" si="0"/>
        <v>H</v>
      </c>
      <c r="E34" s="2">
        <f t="shared" si="1"/>
        <v>480</v>
      </c>
    </row>
    <row r="35" spans="1:5" ht="14.4" x14ac:dyDescent="0.3">
      <c r="A35" s="1">
        <v>10112</v>
      </c>
      <c r="B35" s="12">
        <v>10116</v>
      </c>
      <c r="C35" s="46" t="str">
        <f t="shared" si="2"/>
        <v>G</v>
      </c>
      <c r="D35" s="46" t="str">
        <f t="shared" si="0"/>
        <v>I</v>
      </c>
      <c r="E35" s="2">
        <f t="shared" si="1"/>
        <v>105</v>
      </c>
    </row>
  </sheetData>
  <phoneticPr fontId="18"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Moin Pinjari</cp:lastModifiedBy>
  <dcterms:created xsi:type="dcterms:W3CDTF">2015-02-10T17:33:11Z</dcterms:created>
  <dcterms:modified xsi:type="dcterms:W3CDTF">2024-10-22T15:06:05Z</dcterms:modified>
</cp:coreProperties>
</file>